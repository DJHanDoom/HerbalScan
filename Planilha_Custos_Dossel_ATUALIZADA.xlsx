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ogo\Documents\TRABALHO\dossel\"/>
    </mc:Choice>
  </mc:AlternateContent>
  <xr:revisionPtr revIDLastSave="0" documentId="13_ncr:1_{239D45F4-A81A-4861-982E-E3AF63DEA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s Dossel" sheetId="1" r:id="rId1"/>
    <sheet name="Resumo por Catego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<sst xmlns="http://schemas.openxmlformats.org/spreadsheetml/2006/main" count="170" uniqueCount="103">
  <si>
    <t>Data</t>
  </si>
  <si>
    <t>Tipo</t>
  </si>
  <si>
    <t>Descrição</t>
  </si>
  <si>
    <t>Fornecedor</t>
  </si>
  <si>
    <t>Forma Pagamento</t>
  </si>
  <si>
    <t>Valor (R$)</t>
  </si>
  <si>
    <t>Observações</t>
  </si>
  <si>
    <t>01/11/2025</t>
  </si>
  <si>
    <t>Transferência PIX</t>
  </si>
  <si>
    <t>PIX</t>
  </si>
  <si>
    <t>Transporte</t>
  </si>
  <si>
    <t>Uber - Seropédica RJ para Galeão</t>
  </si>
  <si>
    <t>Uber - Motorista Edmilson</t>
  </si>
  <si>
    <t>62.82 km, 49 min</t>
  </si>
  <si>
    <t>Combustível</t>
  </si>
  <si>
    <t>Óleo Diesel B S10 (31,307 L x 6,39)</t>
  </si>
  <si>
    <t>Auto Posto Tupy Petro LTDA</t>
  </si>
  <si>
    <t>Cartão Débito</t>
  </si>
  <si>
    <t>Oliveira - MG</t>
  </si>
  <si>
    <t>Conveniência</t>
  </si>
  <si>
    <t>Sanduíche, Espresso, Água</t>
  </si>
  <si>
    <t>Express Conveniência Bingen</t>
  </si>
  <si>
    <t>Petrópolis - RJ</t>
  </si>
  <si>
    <t>02/11/2025</t>
  </si>
  <si>
    <t>Alimentação</t>
  </si>
  <si>
    <t>Restaurante (Suco, Dobradinha, Caldo, Parmegiana)</t>
  </si>
  <si>
    <t>Cervejaria Armazem</t>
  </si>
  <si>
    <t>Cartão Crédito</t>
  </si>
  <si>
    <t>Divinópolis - MG</t>
  </si>
  <si>
    <t>Hospedagem</t>
  </si>
  <si>
    <t>Hotel Itaipu - 2 diárias apt tradicional</t>
  </si>
  <si>
    <t>Hotel Itaipu LTDA</t>
  </si>
  <si>
    <t>NFS-e 4606</t>
  </si>
  <si>
    <t>Santos Dumont - MG</t>
  </si>
  <si>
    <t>Bar Ana - Compras, Condá, Besoura, Bloco P</t>
  </si>
  <si>
    <t>Bazar Nova Suíça</t>
  </si>
  <si>
    <t>Não especificado</t>
  </si>
  <si>
    <t>Pompéus - MG</t>
  </si>
  <si>
    <t>Diesel (31,307 L)</t>
  </si>
  <si>
    <t>Auto Posto Tupy Petro</t>
  </si>
  <si>
    <t>03/11/2025</t>
  </si>
  <si>
    <t>Ferramentas</t>
  </si>
  <si>
    <t>Trena 50 MT fibra vidro aberta Sparta</t>
  </si>
  <si>
    <t>Piratininga Ferramentas LTDA</t>
  </si>
  <si>
    <t>04/11/2025</t>
  </si>
  <si>
    <t>Hotel Galvão - Serviço Hospedagem</t>
  </si>
  <si>
    <t>Luciano Rodrigues Galvão &amp; CIA LTDA</t>
  </si>
  <si>
    <t>NFS-e 1233</t>
  </si>
  <si>
    <t>Pompéu - MG</t>
  </si>
  <si>
    <t>Hotel Caiman - Despesa Hospedagem</t>
  </si>
  <si>
    <t>Hotel Caiman LTDA</t>
  </si>
  <si>
    <t>À vista</t>
  </si>
  <si>
    <t>Divinópolis - MG, NFS-e 21591</t>
  </si>
  <si>
    <t>Óleo Diesel B S10 (31,207 L)</t>
  </si>
  <si>
    <t>Leonardo Campos e CIA LTDA</t>
  </si>
  <si>
    <t>POS Débito</t>
  </si>
  <si>
    <t>Materiais</t>
  </si>
  <si>
    <t>Metro Madeira 2M Nat Momfort</t>
  </si>
  <si>
    <t>Brejão Atacarejo LTDA Pompeu</t>
  </si>
  <si>
    <t>NF-e 62641</t>
  </si>
  <si>
    <t>Refeição</t>
  </si>
  <si>
    <t>Willian Adhayr Cordeiro Vieira</t>
  </si>
  <si>
    <t>Bar do Joel - Pastéis, Sucos, Águas</t>
  </si>
  <si>
    <t>Bar do Joel</t>
  </si>
  <si>
    <t>Divinópolis - MG, CNPJ 390.060.186-00</t>
  </si>
  <si>
    <t>05/11/2025</t>
  </si>
  <si>
    <t>Márcios Hotel - 2 diárias hospedagem</t>
  </si>
  <si>
    <t>Lorena Monteiro Rodrigues &amp; CIA LTDA</t>
  </si>
  <si>
    <t>NFS-e 2025/279</t>
  </si>
  <si>
    <t>Papagaios - MG</t>
  </si>
  <si>
    <t>Hotel Galvão - Água</t>
  </si>
  <si>
    <t>Hotel Galvão</t>
  </si>
  <si>
    <t>Nota Promissória</t>
  </si>
  <si>
    <t>Sebastian Lanches - Bacon, Vespa</t>
  </si>
  <si>
    <t>Sebastian Lanches</t>
  </si>
  <si>
    <t>Bar Tempero Mineiro - Janta</t>
  </si>
  <si>
    <t>Bar e Restaurante Tempero Mineiro</t>
  </si>
  <si>
    <t>06/11/2025</t>
  </si>
  <si>
    <t>Bitaca Encontro Com Amigos - Refeições, Coca</t>
  </si>
  <si>
    <t>Bitaca Encontro Com Amigos LTDA</t>
  </si>
  <si>
    <t>Curvelo - MG</t>
  </si>
  <si>
    <t>07/11/2025</t>
  </si>
  <si>
    <t>Hotel Feliz Cidade II - 02 diárias</t>
  </si>
  <si>
    <t>Hotel Feliz Cidade II</t>
  </si>
  <si>
    <t>Felixlândia - MG, CNPJ 39.258.974/0001-05</t>
  </si>
  <si>
    <t>Companhia dos Sabores - 02 Refeições Janta</t>
  </si>
  <si>
    <t>Companhia dos Sabores</t>
  </si>
  <si>
    <t>Felixlândia - MG</t>
  </si>
  <si>
    <t>Divinópolis - MG, NFS-e 21620</t>
  </si>
  <si>
    <t>Óleo Diesel (35,088 L) + Bala Granel</t>
  </si>
  <si>
    <t>Rede Pioneiro</t>
  </si>
  <si>
    <t>Cartão Débito (POS)</t>
  </si>
  <si>
    <t>Felizlândia - MG</t>
  </si>
  <si>
    <t>Bar do Joel - Pastéis, Sucos, Águas, Chá Mate</t>
  </si>
  <si>
    <t>TOTAL GERAL:</t>
  </si>
  <si>
    <t>Categoria</t>
  </si>
  <si>
    <t>Quantidade</t>
  </si>
  <si>
    <t>Valor Total (R$)</t>
  </si>
  <si>
    <t>Percentual (%)</t>
  </si>
  <si>
    <t>TOTAL:</t>
  </si>
  <si>
    <t>Bar da República - 2 Jantares, 2 Refri, Tostino P</t>
  </si>
  <si>
    <t>Bar da República</t>
  </si>
  <si>
    <t>CNPJ 505159 11000120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</si>
</sst>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0&quot;%&quot;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1" topLeftCell="A2" activePane="bottomLeft" state="frozen"/>
      <selection pane="bottomLeft" activeCell="C29" sqref="C29"/>
    </sheetView>
  </sheetViews>
  <sheetFormatPr defaultRowHeight="15" x14ac:dyDescent="0.25"/>
  <cols>
    <col min="1" max="1" width="12" customWidth="1"/>
    <col min="2" max="2" width="20" customWidth="1"/>
    <col min="3" max="3" width="57.5703125" customWidth="1"/>
    <col min="4" max="4" width="35" customWidth="1"/>
    <col min="5" max="5" width="20" customWidth="1"/>
    <col min="6" max="6" width="15" customWidth="1"/>
    <col min="7" max="7" width="3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10</v>
      </c>
      <c r="C2" s="3" t="s">
        <v>11</v>
      </c>
      <c r="D2" s="3" t="s">
        <v>12</v>
      </c>
      <c r="E2" s="3" t="s">
        <v>9</v>
      </c>
      <c r="F2" s="4">
        <v>125.97</v>
      </c>
      <c r="G2" s="3" t="s">
        <v>13</v>
      </c>
    </row>
    <row r="3" spans="1:7" x14ac:dyDescent="0.25">
      <c r="A3" s="2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200.05</v>
      </c>
      <c r="G3" s="3" t="s">
        <v>18</v>
      </c>
    </row>
    <row r="4" spans="1:7" x14ac:dyDescent="0.25">
      <c r="A4" s="2" t="s">
        <v>7</v>
      </c>
      <c r="B4" s="3" t="s">
        <v>19</v>
      </c>
      <c r="C4" s="3" t="s">
        <v>20</v>
      </c>
      <c r="D4" s="3" t="s">
        <v>21</v>
      </c>
      <c r="E4" s="3" t="s">
        <v>17</v>
      </c>
      <c r="F4" s="4">
        <v>50.8</v>
      </c>
      <c r="G4" s="3" t="s">
        <v>22</v>
      </c>
    </row>
    <row r="5" spans="1:7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4">
        <v>87.68</v>
      </c>
      <c r="G5" s="3" t="s">
        <v>28</v>
      </c>
    </row>
    <row r="6" spans="1:7" x14ac:dyDescent="0.25">
      <c r="A6" s="2" t="s">
        <v>23</v>
      </c>
      <c r="B6" s="3" t="s">
        <v>29</v>
      </c>
      <c r="C6" s="3" t="s">
        <v>30</v>
      </c>
      <c r="D6" s="3" t="s">
        <v>31</v>
      </c>
      <c r="E6" s="3" t="s">
        <v>32</v>
      </c>
      <c r="F6" s="4">
        <v>190</v>
      </c>
      <c r="G6" s="3" t="s">
        <v>33</v>
      </c>
    </row>
    <row r="7" spans="1:7" x14ac:dyDescent="0.25">
      <c r="A7" s="2" t="s">
        <v>23</v>
      </c>
      <c r="B7" s="3" t="s">
        <v>24</v>
      </c>
      <c r="C7" s="3" t="s">
        <v>34</v>
      </c>
      <c r="D7" s="3" t="s">
        <v>35</v>
      </c>
      <c r="E7" s="3" t="s">
        <v>36</v>
      </c>
      <c r="F7" s="4">
        <v>89.9</v>
      </c>
      <c r="G7" s="3" t="s">
        <v>37</v>
      </c>
    </row>
    <row r="8" spans="1:7" x14ac:dyDescent="0.25">
      <c r="A8" s="2" t="s">
        <v>23</v>
      </c>
      <c r="B8" s="3" t="s">
        <v>14</v>
      </c>
      <c r="C8" s="3" t="s">
        <v>38</v>
      </c>
      <c r="D8" s="3" t="s">
        <v>39</v>
      </c>
      <c r="E8" s="3" t="s">
        <v>17</v>
      </c>
      <c r="F8" s="4">
        <v>200.05</v>
      </c>
      <c r="G8" s="3"/>
    </row>
    <row r="9" spans="1:7" x14ac:dyDescent="0.25">
      <c r="A9" s="2" t="s">
        <v>40</v>
      </c>
      <c r="B9" s="3" t="s">
        <v>41</v>
      </c>
      <c r="C9" s="3" t="s">
        <v>42</v>
      </c>
      <c r="D9" s="3" t="s">
        <v>43</v>
      </c>
      <c r="E9" s="3" t="s">
        <v>9</v>
      </c>
      <c r="F9" s="4">
        <v>87</v>
      </c>
      <c r="G9" s="3" t="s">
        <v>28</v>
      </c>
    </row>
    <row r="10" spans="1:7" x14ac:dyDescent="0.25">
      <c r="A10" s="2" t="s">
        <v>44</v>
      </c>
      <c r="B10" s="3" t="s">
        <v>29</v>
      </c>
      <c r="C10" s="3" t="s">
        <v>45</v>
      </c>
      <c r="D10" s="3" t="s">
        <v>46</v>
      </c>
      <c r="E10" s="3" t="s">
        <v>47</v>
      </c>
      <c r="F10" s="4">
        <v>207</v>
      </c>
      <c r="G10" s="3" t="s">
        <v>48</v>
      </c>
    </row>
    <row r="11" spans="1:7" x14ac:dyDescent="0.25">
      <c r="A11" s="2" t="s">
        <v>44</v>
      </c>
      <c r="B11" s="3" t="s">
        <v>29</v>
      </c>
      <c r="C11" s="3" t="s">
        <v>49</v>
      </c>
      <c r="D11" s="3" t="s">
        <v>50</v>
      </c>
      <c r="E11" s="3" t="s">
        <v>51</v>
      </c>
      <c r="F11" s="4">
        <v>274</v>
      </c>
      <c r="G11" s="3" t="s">
        <v>52</v>
      </c>
    </row>
    <row r="12" spans="1:7" x14ac:dyDescent="0.25">
      <c r="A12" s="2" t="s">
        <v>44</v>
      </c>
      <c r="B12" s="3" t="s">
        <v>14</v>
      </c>
      <c r="C12" s="3" t="s">
        <v>53</v>
      </c>
      <c r="D12" s="3" t="s">
        <v>54</v>
      </c>
      <c r="E12" s="3" t="s">
        <v>55</v>
      </c>
      <c r="F12" s="4">
        <v>188.04</v>
      </c>
      <c r="G12" s="3" t="s">
        <v>48</v>
      </c>
    </row>
    <row r="13" spans="1:7" x14ac:dyDescent="0.25">
      <c r="A13" s="2" t="s">
        <v>44</v>
      </c>
      <c r="B13" s="3" t="s">
        <v>56</v>
      </c>
      <c r="C13" s="3" t="s">
        <v>57</v>
      </c>
      <c r="D13" s="3" t="s">
        <v>58</v>
      </c>
      <c r="E13" s="3" t="s">
        <v>36</v>
      </c>
      <c r="F13" s="4">
        <v>34</v>
      </c>
      <c r="G13" s="3" t="s">
        <v>59</v>
      </c>
    </row>
    <row r="14" spans="1:7" x14ac:dyDescent="0.25">
      <c r="A14" s="2" t="s">
        <v>44</v>
      </c>
      <c r="B14" s="3" t="s">
        <v>24</v>
      </c>
      <c r="C14" s="3" t="s">
        <v>60</v>
      </c>
      <c r="D14" s="3" t="s">
        <v>61</v>
      </c>
      <c r="E14" s="3" t="s">
        <v>17</v>
      </c>
      <c r="F14" s="4">
        <v>71</v>
      </c>
      <c r="G14" s="3" t="s">
        <v>48</v>
      </c>
    </row>
    <row r="15" spans="1:7" x14ac:dyDescent="0.25">
      <c r="A15" s="2" t="s">
        <v>44</v>
      </c>
      <c r="B15" s="3" t="s">
        <v>24</v>
      </c>
      <c r="C15" s="3" t="s">
        <v>62</v>
      </c>
      <c r="D15" s="3" t="s">
        <v>63</v>
      </c>
      <c r="E15" s="3" t="s">
        <v>36</v>
      </c>
      <c r="F15" s="4">
        <v>47</v>
      </c>
      <c r="G15" s="3" t="s">
        <v>64</v>
      </c>
    </row>
    <row r="16" spans="1:7" x14ac:dyDescent="0.25">
      <c r="A16" s="2" t="s">
        <v>65</v>
      </c>
      <c r="B16" s="3" t="s">
        <v>29</v>
      </c>
      <c r="C16" s="3" t="s">
        <v>66</v>
      </c>
      <c r="D16" s="3" t="s">
        <v>67</v>
      </c>
      <c r="E16" s="3" t="s">
        <v>68</v>
      </c>
      <c r="F16" s="4">
        <v>180</v>
      </c>
      <c r="G16" s="3" t="s">
        <v>69</v>
      </c>
    </row>
    <row r="17" spans="1:7" x14ac:dyDescent="0.25">
      <c r="A17" s="2" t="s">
        <v>65</v>
      </c>
      <c r="B17" s="3" t="s">
        <v>29</v>
      </c>
      <c r="C17" s="3" t="s">
        <v>70</v>
      </c>
      <c r="D17" s="3" t="s">
        <v>71</v>
      </c>
      <c r="E17" s="3" t="s">
        <v>72</v>
      </c>
      <c r="F17" s="4">
        <v>17.899999999999999</v>
      </c>
      <c r="G17" s="3" t="s">
        <v>65</v>
      </c>
    </row>
    <row r="18" spans="1:7" x14ac:dyDescent="0.25">
      <c r="A18" s="2" t="s">
        <v>65</v>
      </c>
      <c r="B18" s="3" t="s">
        <v>24</v>
      </c>
      <c r="C18" s="3" t="s">
        <v>73</v>
      </c>
      <c r="D18" s="3" t="s">
        <v>74</v>
      </c>
      <c r="E18" s="3" t="s">
        <v>36</v>
      </c>
      <c r="F18" s="4">
        <v>13</v>
      </c>
      <c r="G18" s="3" t="s">
        <v>69</v>
      </c>
    </row>
    <row r="19" spans="1:7" x14ac:dyDescent="0.25">
      <c r="A19" s="2" t="s">
        <v>65</v>
      </c>
      <c r="B19" s="3" t="s">
        <v>24</v>
      </c>
      <c r="C19" s="3" t="s">
        <v>75</v>
      </c>
      <c r="D19" s="3" t="s">
        <v>76</v>
      </c>
      <c r="E19" s="3" t="s">
        <v>36</v>
      </c>
      <c r="F19" s="4">
        <v>67.8</v>
      </c>
      <c r="G19" s="3" t="s">
        <v>69</v>
      </c>
    </row>
    <row r="20" spans="1:7" x14ac:dyDescent="0.25">
      <c r="A20" s="2" t="s">
        <v>77</v>
      </c>
      <c r="B20" s="3" t="s">
        <v>24</v>
      </c>
      <c r="C20" s="3" t="s">
        <v>78</v>
      </c>
      <c r="D20" s="3" t="s">
        <v>79</v>
      </c>
      <c r="E20" s="3" t="s">
        <v>36</v>
      </c>
      <c r="F20" s="4">
        <v>73</v>
      </c>
      <c r="G20" s="3" t="s">
        <v>80</v>
      </c>
    </row>
    <row r="21" spans="1:7" x14ac:dyDescent="0.25">
      <c r="A21" s="2" t="s">
        <v>81</v>
      </c>
      <c r="B21" s="3" t="s">
        <v>29</v>
      </c>
      <c r="C21" s="3" t="s">
        <v>82</v>
      </c>
      <c r="D21" s="3" t="s">
        <v>83</v>
      </c>
      <c r="E21" s="3" t="s">
        <v>36</v>
      </c>
      <c r="F21" s="4">
        <v>260</v>
      </c>
      <c r="G21" s="3" t="s">
        <v>84</v>
      </c>
    </row>
    <row r="22" spans="1:7" x14ac:dyDescent="0.25">
      <c r="A22" s="2" t="s">
        <v>81</v>
      </c>
      <c r="B22" s="3" t="s">
        <v>24</v>
      </c>
      <c r="C22" s="3" t="s">
        <v>85</v>
      </c>
      <c r="D22" s="3" t="s">
        <v>86</v>
      </c>
      <c r="E22" s="3" t="s">
        <v>36</v>
      </c>
      <c r="F22" s="4">
        <v>60</v>
      </c>
      <c r="G22" s="3" t="s">
        <v>87</v>
      </c>
    </row>
    <row r="23" spans="1:7" x14ac:dyDescent="0.25">
      <c r="A23" s="2" t="s">
        <v>81</v>
      </c>
      <c r="B23" s="3" t="s">
        <v>29</v>
      </c>
      <c r="C23" s="3" t="s">
        <v>49</v>
      </c>
      <c r="D23" s="3" t="s">
        <v>50</v>
      </c>
      <c r="E23" s="3" t="s">
        <v>51</v>
      </c>
      <c r="F23" s="4">
        <v>220</v>
      </c>
      <c r="G23" s="3" t="s">
        <v>88</v>
      </c>
    </row>
    <row r="24" spans="1:7" x14ac:dyDescent="0.25">
      <c r="A24" s="2" t="s">
        <v>81</v>
      </c>
      <c r="B24" s="3" t="s">
        <v>14</v>
      </c>
      <c r="C24" s="3" t="s">
        <v>89</v>
      </c>
      <c r="D24" s="3" t="s">
        <v>90</v>
      </c>
      <c r="E24" s="3" t="s">
        <v>91</v>
      </c>
      <c r="F24" s="4">
        <v>241.72</v>
      </c>
      <c r="G24" s="3" t="s">
        <v>92</v>
      </c>
    </row>
    <row r="25" spans="1:7" x14ac:dyDescent="0.25">
      <c r="A25" s="2" t="s">
        <v>81</v>
      </c>
      <c r="B25" s="3" t="s">
        <v>24</v>
      </c>
      <c r="C25" s="3" t="s">
        <v>93</v>
      </c>
      <c r="D25" s="3" t="s">
        <v>63</v>
      </c>
      <c r="E25" s="3" t="s">
        <v>36</v>
      </c>
      <c r="F25" s="4">
        <v>87</v>
      </c>
      <c r="G25" s="3" t="s">
        <v>64</v>
      </c>
    </row>
    <row r="26" spans="1:7" x14ac:dyDescent="0.25">
      <c r="A26" s="2" t="s">
        <v>23</v>
      </c>
      <c r="B26" s="3" t="s">
        <v>24</v>
      </c>
      <c r="C26" s="3" t="s">
        <v>100</v>
      </c>
      <c r="D26" s="3" t="s">
        <v>101</v>
      </c>
      <c r="E26" s="3" t="s">
        <v>36</v>
      </c>
      <c r="F26" s="4">
        <v>76.5</v>
      </c>
      <c r="G26" s="3" t="s">
        <v>102</v>
      </c>
    </row>
    <row r="27" spans="1:7" ht="15.75" x14ac:dyDescent="0.25">
      <c r="E27" s="5" t="s">
        <v>94</v>
      </c>
      <c r="F27" s="6">
        <f>SUM(F2:F26)</f>
        <v>3149.41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15" customWidth="1"/>
  </cols>
  <sheetData>
    <row r="1" spans="1:4" ht="15.75" x14ac:dyDescent="0.25">
      <c r="A1" s="1" t="s">
        <v>95</v>
      </c>
      <c r="B1" s="1" t="s">
        <v>96</v>
      </c>
      <c r="C1" s="1" t="s">
        <v>97</v>
      </c>
      <c r="D1" s="1" t="s">
        <v>98</v>
      </c>
    </row>
    <row r="2" spans="1:4" x14ac:dyDescent="0.25">
      <c r="A2" s="3" t="s">
        <v>8</v>
      </c>
      <c r="B2" s="2">
        <v>3</v>
      </c>
      <c r="C2" s="4">
        <v>3500</v>
      </c>
      <c r="D2" s="7">
        <v>0.52356725819794137</v>
      </c>
    </row>
    <row r="3" spans="1:4" x14ac:dyDescent="0.25">
      <c r="A3" s="3" t="s">
        <v>29</v>
      </c>
      <c r="B3" s="2">
        <v>7</v>
      </c>
      <c r="C3" s="4">
        <v>1348.9</v>
      </c>
      <c r="D3" s="7">
        <v>0.2017828213094866</v>
      </c>
    </row>
    <row r="4" spans="1:4" x14ac:dyDescent="0.25">
      <c r="A4" s="3" t="s">
        <v>14</v>
      </c>
      <c r="B4" s="2">
        <v>4</v>
      </c>
      <c r="C4" s="4">
        <v>829.86</v>
      </c>
      <c r="D4" s="7">
        <v>0.12413929282518391</v>
      </c>
    </row>
    <row r="5" spans="1:4" x14ac:dyDescent="0.25">
      <c r="A5" s="3" t="s">
        <v>24</v>
      </c>
      <c r="B5" s="2">
        <v>11</v>
      </c>
      <c r="C5" s="4">
        <v>708.38000000000011</v>
      </c>
      <c r="D5" s="7">
        <v>0.1059670212463594</v>
      </c>
    </row>
    <row r="6" spans="1:4" x14ac:dyDescent="0.25">
      <c r="A6" s="3" t="s">
        <v>10</v>
      </c>
      <c r="B6" s="2">
        <v>1</v>
      </c>
      <c r="C6" s="4">
        <v>125.97</v>
      </c>
      <c r="D6" s="7">
        <v>1.8843933575769901E-2</v>
      </c>
    </row>
    <row r="7" spans="1:4" x14ac:dyDescent="0.25">
      <c r="A7" s="3" t="s">
        <v>41</v>
      </c>
      <c r="B7" s="2">
        <v>1</v>
      </c>
      <c r="C7" s="4">
        <v>87</v>
      </c>
      <c r="D7" s="7">
        <v>1.3014386132348831E-2</v>
      </c>
    </row>
    <row r="8" spans="1:4" x14ac:dyDescent="0.25">
      <c r="A8" s="3" t="s">
        <v>19</v>
      </c>
      <c r="B8" s="2">
        <v>1</v>
      </c>
      <c r="C8" s="4">
        <v>50.8</v>
      </c>
      <c r="D8" s="7">
        <v>7.5992047761301194E-3</v>
      </c>
    </row>
    <row r="9" spans="1:4" x14ac:dyDescent="0.25">
      <c r="A9" s="3" t="s">
        <v>56</v>
      </c>
      <c r="B9" s="2">
        <v>1</v>
      </c>
      <c r="C9" s="4">
        <v>34</v>
      </c>
      <c r="D9" s="7">
        <v>5.0860819367800018E-3</v>
      </c>
    </row>
    <row r="10" spans="1:4" ht="15.75" x14ac:dyDescent="0.25">
      <c r="A10" s="8" t="s">
        <v>99</v>
      </c>
      <c r="B10" s="9">
        <v>29</v>
      </c>
      <c r="C10" s="6">
        <v>6684.91</v>
      </c>
      <c r="D10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Dossel</vt:lpstr>
      <vt:lpstr>Resumo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Kanouté</cp:lastModifiedBy>
  <dcterms:created xsi:type="dcterms:W3CDTF">2025-11-08T01:37:23Z</dcterms:created>
  <dcterms:modified xsi:type="dcterms:W3CDTF">2025-11-08T01:55:34Z</dcterms:modified>
</cp:coreProperties>
</file>