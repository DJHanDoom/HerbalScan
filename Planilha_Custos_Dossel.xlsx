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ustos Dossel" sheetId="1" state="visible" r:id="rId1"/>
    <sheet xmlns:r="http://schemas.openxmlformats.org/officeDocument/2006/relationships" name="Resumo por Categoria" sheetId="2" state="visible" r:id="rId2"/>
  </sheets>
  <definedNames>
    <definedName name="_xlnm._FilterDatabase" localSheetId="0" hidden="1">'Custos Dossel'!$A$1:$G$26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0.00&quot;%&quot;"/>
    <numFmt numFmtId="166" formatCode="R$ #,##0.00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3" borderId="1" applyAlignment="1" pivotButton="0" quotePrefix="0" xfId="0">
      <alignment horizontal="right"/>
    </xf>
    <xf numFmtId="164" fontId="1" fillId="3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165" fontId="1" fillId="3" borderId="1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130" zoomScaleNormal="130" workbookViewId="0">
      <pane ySplit="1" topLeftCell="A2" activePane="bottomLeft" state="frozen"/>
      <selection pane="bottomLeft" activeCell="D3" sqref="D3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5" customWidth="1" min="4" max="4"/>
    <col width="20" customWidth="1" min="5" max="5"/>
    <col width="15" customWidth="1" min="6" max="6"/>
    <col width="35" customWidth="1" min="7" max="7"/>
  </cols>
  <sheetData>
    <row r="1" ht="15.75" customHeight="1">
      <c r="A1" s="1" t="inlineStr">
        <is>
          <t>Data</t>
        </is>
      </c>
      <c r="B1" s="1" t="inlineStr">
        <is>
          <t>Tipo</t>
        </is>
      </c>
      <c r="C1" s="1" t="inlineStr">
        <is>
          <t>Descrição</t>
        </is>
      </c>
      <c r="D1" s="1" t="inlineStr">
        <is>
          <t>Fornecedor</t>
        </is>
      </c>
      <c r="E1" s="1" t="inlineStr">
        <is>
          <t>Forma Pagamento</t>
        </is>
      </c>
      <c r="F1" s="1" t="inlineStr">
        <is>
          <t>Valor (R$)</t>
        </is>
      </c>
      <c r="G1" s="1" t="inlineStr">
        <is>
          <t>Observações</t>
        </is>
      </c>
    </row>
    <row r="2">
      <c r="A2" s="2" t="inlineStr">
        <is>
          <t>01/11/2025</t>
        </is>
      </c>
      <c r="B2" s="3" t="inlineStr">
        <is>
          <t>Transporte</t>
        </is>
      </c>
      <c r="C2" s="3" t="inlineStr">
        <is>
          <t>Uber - Seropédica RJ para Galeão</t>
        </is>
      </c>
      <c r="D2" s="3" t="inlineStr">
        <is>
          <t>Uber - Motorista Edmilson</t>
        </is>
      </c>
      <c r="E2" s="3" t="inlineStr">
        <is>
          <t>PIX</t>
        </is>
      </c>
      <c r="F2" s="4" t="n">
        <v>125.97</v>
      </c>
      <c r="G2" s="3" t="inlineStr">
        <is>
          <t>62.82 km, 49 min</t>
        </is>
      </c>
    </row>
    <row r="3">
      <c r="A3" s="2" t="inlineStr">
        <is>
          <t>01/11/2025</t>
        </is>
      </c>
      <c r="B3" s="3" t="inlineStr">
        <is>
          <t>Combustível</t>
        </is>
      </c>
      <c r="C3" s="3" t="inlineStr">
        <is>
          <t>Óleo Diesel B S10 (31,307 L x 6,39)</t>
        </is>
      </c>
      <c r="D3" s="3" t="inlineStr">
        <is>
          <t>Auto Posto Tupy Petro LTDA</t>
        </is>
      </c>
      <c r="E3" s="3" t="inlineStr">
        <is>
          <t>Cartão Débito</t>
        </is>
      </c>
      <c r="F3" s="4" t="n">
        <v>200.05</v>
      </c>
      <c r="G3" s="3" t="inlineStr">
        <is>
          <t>Oliveira - MG</t>
        </is>
      </c>
    </row>
    <row r="4">
      <c r="A4" s="2" t="inlineStr">
        <is>
          <t>01/11/2025</t>
        </is>
      </c>
      <c r="B4" s="3" t="inlineStr">
        <is>
          <t>Conveniência</t>
        </is>
      </c>
      <c r="C4" s="3" t="inlineStr">
        <is>
          <t>Sanduíche, Espresso, Água</t>
        </is>
      </c>
      <c r="D4" s="3" t="inlineStr">
        <is>
          <t>Express Conveniência Bingen</t>
        </is>
      </c>
      <c r="E4" s="3" t="inlineStr">
        <is>
          <t>Cartão Débito</t>
        </is>
      </c>
      <c r="F4" s="4" t="n">
        <v>50.8</v>
      </c>
      <c r="G4" s="3" t="inlineStr">
        <is>
          <t>Petrópolis - RJ</t>
        </is>
      </c>
    </row>
    <row r="5">
      <c r="A5" s="2" t="inlineStr">
        <is>
          <t>02/11/2025</t>
        </is>
      </c>
      <c r="B5" s="3" t="inlineStr">
        <is>
          <t>Alimentação</t>
        </is>
      </c>
      <c r="C5" s="3" t="inlineStr">
        <is>
          <t>Restaurante (Suco, Dobradinha, Caldo, Parmegiana)</t>
        </is>
      </c>
      <c r="D5" s="3" t="inlineStr">
        <is>
          <t>Cervejaria Armazem</t>
        </is>
      </c>
      <c r="E5" s="3" t="inlineStr">
        <is>
          <t>Cartão Crédito</t>
        </is>
      </c>
      <c r="F5" s="4" t="n">
        <v>87.68000000000001</v>
      </c>
      <c r="G5" s="3" t="inlineStr">
        <is>
          <t>Divinópolis - MG</t>
        </is>
      </c>
    </row>
    <row r="6">
      <c r="A6" s="2" t="inlineStr">
        <is>
          <t>02/11/2025</t>
        </is>
      </c>
      <c r="B6" s="3" t="inlineStr">
        <is>
          <t>Hospedagem</t>
        </is>
      </c>
      <c r="C6" s="3" t="inlineStr">
        <is>
          <t>Hotel Itaipu - 2 diárias apt tradicional</t>
        </is>
      </c>
      <c r="D6" s="3" t="inlineStr">
        <is>
          <t>Hotel Itaipu LTDA</t>
        </is>
      </c>
      <c r="E6" s="3" t="inlineStr">
        <is>
          <t>NFS-e 4606</t>
        </is>
      </c>
      <c r="F6" s="4" t="n">
        <v>190</v>
      </c>
      <c r="G6" s="3" t="inlineStr">
        <is>
          <t>Santos Dumont - MG</t>
        </is>
      </c>
    </row>
    <row r="7">
      <c r="A7" s="2" t="inlineStr">
        <is>
          <t>02/11/2025</t>
        </is>
      </c>
      <c r="B7" s="3" t="inlineStr">
        <is>
          <t>Alimentação</t>
        </is>
      </c>
      <c r="C7" s="3" t="inlineStr">
        <is>
          <t>Bar Ana - Compras, Condá, Besoura, Bloco P</t>
        </is>
      </c>
      <c r="D7" s="3" t="inlineStr">
        <is>
          <t>Bazar Nova Suíça</t>
        </is>
      </c>
      <c r="E7" s="3" t="inlineStr">
        <is>
          <t>Não especificado</t>
        </is>
      </c>
      <c r="F7" s="4" t="n">
        <v>89.90000000000001</v>
      </c>
      <c r="G7" s="3" t="inlineStr">
        <is>
          <t>Pompéus - MG</t>
        </is>
      </c>
    </row>
    <row r="8">
      <c r="A8" s="2" t="inlineStr">
        <is>
          <t>02/11/2025</t>
        </is>
      </c>
      <c r="B8" s="3" t="inlineStr">
        <is>
          <t>Combustível</t>
        </is>
      </c>
      <c r="C8" s="3" t="inlineStr">
        <is>
          <t>Diesel (31,307 L)</t>
        </is>
      </c>
      <c r="D8" s="3" t="inlineStr">
        <is>
          <t>Auto Posto Tupy Petro</t>
        </is>
      </c>
      <c r="E8" s="3" t="inlineStr">
        <is>
          <t>Cartão Débito</t>
        </is>
      </c>
      <c r="F8" s="4" t="n">
        <v>200.05</v>
      </c>
      <c r="G8" s="3" t="n"/>
    </row>
    <row r="9">
      <c r="A9" s="2" t="inlineStr">
        <is>
          <t>03/11/2025</t>
        </is>
      </c>
      <c r="B9" s="3" t="inlineStr">
        <is>
          <t>Ferramentas</t>
        </is>
      </c>
      <c r="C9" s="3" t="inlineStr">
        <is>
          <t>Trena 50 MT fibra vidro aberta Sparta</t>
        </is>
      </c>
      <c r="D9" s="3" t="inlineStr">
        <is>
          <t>Piratininga Ferramentas LTDA</t>
        </is>
      </c>
      <c r="E9" s="3" t="inlineStr">
        <is>
          <t>PIX</t>
        </is>
      </c>
      <c r="F9" s="4" t="n">
        <v>87</v>
      </c>
      <c r="G9" s="3" t="inlineStr">
        <is>
          <t>Divinópolis - MG</t>
        </is>
      </c>
    </row>
    <row r="10">
      <c r="A10" s="2" t="inlineStr">
        <is>
          <t>04/11/2025</t>
        </is>
      </c>
      <c r="B10" s="3" t="inlineStr">
        <is>
          <t>Hospedagem</t>
        </is>
      </c>
      <c r="C10" s="3" t="inlineStr">
        <is>
          <t>Hotel Galvão - Serviço Hospedagem</t>
        </is>
      </c>
      <c r="D10" s="3" t="inlineStr">
        <is>
          <t>Luciano Rodrigues Galvão &amp; CIA LTDA</t>
        </is>
      </c>
      <c r="E10" s="3" t="inlineStr">
        <is>
          <t>NFS-e 1233</t>
        </is>
      </c>
      <c r="F10" s="4" t="n">
        <v>207</v>
      </c>
      <c r="G10" s="3" t="inlineStr">
        <is>
          <t>Pompéu - MG</t>
        </is>
      </c>
    </row>
    <row r="11">
      <c r="A11" s="2" t="inlineStr">
        <is>
          <t>04/11/2025</t>
        </is>
      </c>
      <c r="B11" s="3" t="inlineStr">
        <is>
          <t>Hospedagem</t>
        </is>
      </c>
      <c r="C11" s="3" t="inlineStr">
        <is>
          <t>Hotel Caiman - Despesa Hospedagem</t>
        </is>
      </c>
      <c r="D11" s="3" t="inlineStr">
        <is>
          <t>Hotel Caiman LTDA</t>
        </is>
      </c>
      <c r="E11" s="3" t="inlineStr">
        <is>
          <t>À vista</t>
        </is>
      </c>
      <c r="F11" s="4" t="n">
        <v>274</v>
      </c>
      <c r="G11" s="3" t="inlineStr">
        <is>
          <t>Divinópolis - MG, NFS-e 21591</t>
        </is>
      </c>
    </row>
    <row r="12">
      <c r="A12" s="2" t="inlineStr">
        <is>
          <t>04/11/2025</t>
        </is>
      </c>
      <c r="B12" s="3" t="inlineStr">
        <is>
          <t>Combustível</t>
        </is>
      </c>
      <c r="C12" s="3" t="inlineStr">
        <is>
          <t>Óleo Diesel B S10 (31,207 L)</t>
        </is>
      </c>
      <c r="D12" s="3" t="inlineStr">
        <is>
          <t>Leonardo Campos e CIA LTDA</t>
        </is>
      </c>
      <c r="E12" s="3" t="inlineStr">
        <is>
          <t>POS Débito</t>
        </is>
      </c>
      <c r="F12" s="4" t="n">
        <v>188.04</v>
      </c>
      <c r="G12" s="3" t="inlineStr">
        <is>
          <t>Pompéu - MG</t>
        </is>
      </c>
    </row>
    <row r="13">
      <c r="A13" s="2" t="inlineStr">
        <is>
          <t>04/11/2025</t>
        </is>
      </c>
      <c r="B13" s="3" t="inlineStr">
        <is>
          <t>Materiais</t>
        </is>
      </c>
      <c r="C13" s="3" t="inlineStr">
        <is>
          <t>Metro Madeira 2M Nat Momfort</t>
        </is>
      </c>
      <c r="D13" s="3" t="inlineStr">
        <is>
          <t>Brejão Atacarejo LTDA Pompeu</t>
        </is>
      </c>
      <c r="E13" s="3" t="inlineStr">
        <is>
          <t>Não especificado</t>
        </is>
      </c>
      <c r="F13" s="4" t="n">
        <v>34</v>
      </c>
      <c r="G13" s="3" t="inlineStr">
        <is>
          <t>NF-e 62641</t>
        </is>
      </c>
    </row>
    <row r="14">
      <c r="A14" s="2" t="inlineStr">
        <is>
          <t>04/11/2025</t>
        </is>
      </c>
      <c r="B14" s="3" t="inlineStr">
        <is>
          <t>Alimentação</t>
        </is>
      </c>
      <c r="C14" s="3" t="inlineStr">
        <is>
          <t>Refeição</t>
        </is>
      </c>
      <c r="D14" s="3" t="inlineStr">
        <is>
          <t>Willian Adhayr Cordeiro Vieira</t>
        </is>
      </c>
      <c r="E14" s="3" t="inlineStr">
        <is>
          <t>Cartão Débito</t>
        </is>
      </c>
      <c r="F14" s="4" t="n">
        <v>71</v>
      </c>
      <c r="G14" s="3" t="inlineStr">
        <is>
          <t>Pompéu - MG</t>
        </is>
      </c>
    </row>
    <row r="15">
      <c r="A15" s="2" t="inlineStr">
        <is>
          <t>04/11/2025</t>
        </is>
      </c>
      <c r="B15" s="3" t="inlineStr">
        <is>
          <t>Alimentação</t>
        </is>
      </c>
      <c r="C15" s="3" t="inlineStr">
        <is>
          <t>Bar do Joel - Pastéis, Sucos, Águas</t>
        </is>
      </c>
      <c r="D15" s="3" t="inlineStr">
        <is>
          <t>Bar do Joel</t>
        </is>
      </c>
      <c r="E15" s="3" t="inlineStr">
        <is>
          <t>Não especificado</t>
        </is>
      </c>
      <c r="F15" s="4" t="n">
        <v>47</v>
      </c>
      <c r="G15" s="3" t="inlineStr">
        <is>
          <t>Divinópolis - MG, CNPJ 390.060.186-00</t>
        </is>
      </c>
    </row>
    <row r="16">
      <c r="A16" s="2" t="inlineStr">
        <is>
          <t>05/11/2025</t>
        </is>
      </c>
      <c r="B16" s="3" t="inlineStr">
        <is>
          <t>Hospedagem</t>
        </is>
      </c>
      <c r="C16" s="3" t="inlineStr">
        <is>
          <t>Márcios Hotel - 2 diárias hospedagem</t>
        </is>
      </c>
      <c r="D16" s="3" t="inlineStr">
        <is>
          <t>Lorena Monteiro Rodrigues &amp; CIA LTDA</t>
        </is>
      </c>
      <c r="E16" s="3" t="inlineStr">
        <is>
          <t>NFS-e 2025/279</t>
        </is>
      </c>
      <c r="F16" s="4" t="n">
        <v>180</v>
      </c>
      <c r="G16" s="3" t="inlineStr">
        <is>
          <t>Papagaios - MG</t>
        </is>
      </c>
    </row>
    <row r="17">
      <c r="A17" s="2" t="inlineStr">
        <is>
          <t>05/11/2025</t>
        </is>
      </c>
      <c r="B17" s="3" t="inlineStr">
        <is>
          <t>Hospedagem</t>
        </is>
      </c>
      <c r="C17" s="3" t="inlineStr">
        <is>
          <t>Hotel Galvão - Água</t>
        </is>
      </c>
      <c r="D17" s="3" t="inlineStr">
        <is>
          <t>Hotel Galvão</t>
        </is>
      </c>
      <c r="E17" s="3" t="inlineStr">
        <is>
          <t>Nota Promissória</t>
        </is>
      </c>
      <c r="F17" s="4" t="n">
        <v>17.9</v>
      </c>
      <c r="G17" s="3" t="inlineStr">
        <is>
          <t>05/11/2025</t>
        </is>
      </c>
    </row>
    <row r="18">
      <c r="A18" s="2" t="inlineStr">
        <is>
          <t>05/11/2025</t>
        </is>
      </c>
      <c r="B18" s="3" t="inlineStr">
        <is>
          <t>Alimentação</t>
        </is>
      </c>
      <c r="C18" s="3" t="inlineStr">
        <is>
          <t>Sebastian Lanches - Bacon, Vespa</t>
        </is>
      </c>
      <c r="D18" s="3" t="inlineStr">
        <is>
          <t>Sebastian Lanches</t>
        </is>
      </c>
      <c r="E18" s="3" t="inlineStr">
        <is>
          <t>Não especificado</t>
        </is>
      </c>
      <c r="F18" s="4" t="n">
        <v>13</v>
      </c>
      <c r="G18" s="3" t="inlineStr">
        <is>
          <t>Papagaios - MG</t>
        </is>
      </c>
    </row>
    <row r="19">
      <c r="A19" s="2" t="inlineStr">
        <is>
          <t>05/11/2025</t>
        </is>
      </c>
      <c r="B19" s="3" t="inlineStr">
        <is>
          <t>Alimentação</t>
        </is>
      </c>
      <c r="C19" s="3" t="inlineStr">
        <is>
          <t>Bar Tempero Mineiro - Janta</t>
        </is>
      </c>
      <c r="D19" s="3" t="inlineStr">
        <is>
          <t>Bar e Restaurante Tempero Mineiro</t>
        </is>
      </c>
      <c r="E19" s="3" t="inlineStr">
        <is>
          <t>Não especificado</t>
        </is>
      </c>
      <c r="F19" s="4" t="n">
        <v>67.8</v>
      </c>
      <c r="G19" s="3" t="inlineStr">
        <is>
          <t>Papagaios - MG</t>
        </is>
      </c>
    </row>
    <row r="20">
      <c r="A20" s="2" t="inlineStr">
        <is>
          <t>06/11/2025</t>
        </is>
      </c>
      <c r="B20" s="3" t="inlineStr">
        <is>
          <t>Alimentação</t>
        </is>
      </c>
      <c r="C20" s="3" t="inlineStr">
        <is>
          <t>Bitaca Encontro Com Amigos - Refeições, Coca</t>
        </is>
      </c>
      <c r="D20" s="3" t="inlineStr">
        <is>
          <t>Bitaca Encontro Com Amigos LTDA</t>
        </is>
      </c>
      <c r="E20" s="3" t="inlineStr">
        <is>
          <t>Não especificado</t>
        </is>
      </c>
      <c r="F20" s="4" t="n">
        <v>73</v>
      </c>
      <c r="G20" s="3" t="inlineStr">
        <is>
          <t>Curvelo - MG</t>
        </is>
      </c>
    </row>
    <row r="21">
      <c r="A21" s="2" t="inlineStr">
        <is>
          <t>07/11/2025</t>
        </is>
      </c>
      <c r="B21" s="3" t="inlineStr">
        <is>
          <t>Hospedagem</t>
        </is>
      </c>
      <c r="C21" s="3" t="inlineStr">
        <is>
          <t>Hotel Feliz Cidade II - 02 diárias</t>
        </is>
      </c>
      <c r="D21" s="3" t="inlineStr">
        <is>
          <t>Hotel Feliz Cidade II</t>
        </is>
      </c>
      <c r="E21" s="3" t="inlineStr">
        <is>
          <t>Não especificado</t>
        </is>
      </c>
      <c r="F21" s="4" t="n">
        <v>260</v>
      </c>
      <c r="G21" s="3" t="inlineStr">
        <is>
          <t>Felixlândia - MG, CNPJ 39.258.974/0001-05</t>
        </is>
      </c>
    </row>
    <row r="22">
      <c r="A22" s="2" t="inlineStr">
        <is>
          <t>07/11/2025</t>
        </is>
      </c>
      <c r="B22" s="3" t="inlineStr">
        <is>
          <t>Alimentação</t>
        </is>
      </c>
      <c r="C22" s="3" t="inlineStr">
        <is>
          <t>Companhia dos Sabores - 02 Refeições Janta</t>
        </is>
      </c>
      <c r="D22" s="3" t="inlineStr">
        <is>
          <t>Companhia dos Sabores</t>
        </is>
      </c>
      <c r="E22" s="3" t="inlineStr">
        <is>
          <t>Não especificado</t>
        </is>
      </c>
      <c r="F22" s="4" t="n">
        <v>60</v>
      </c>
      <c r="G22" s="3" t="inlineStr">
        <is>
          <t>Felixlândia - MG</t>
        </is>
      </c>
    </row>
    <row r="23">
      <c r="A23" s="2" t="inlineStr">
        <is>
          <t>07/11/2025</t>
        </is>
      </c>
      <c r="B23" s="3" t="inlineStr">
        <is>
          <t>Hospedagem</t>
        </is>
      </c>
      <c r="C23" s="3" t="inlineStr">
        <is>
          <t>Hotel Caiman - Despesa Hospedagem</t>
        </is>
      </c>
      <c r="D23" s="3" t="inlineStr">
        <is>
          <t>Hotel Caiman LTDA</t>
        </is>
      </c>
      <c r="E23" s="3" t="inlineStr">
        <is>
          <t>À vista</t>
        </is>
      </c>
      <c r="F23" s="4" t="n">
        <v>220</v>
      </c>
      <c r="G23" s="3" t="inlineStr">
        <is>
          <t>Divinópolis - MG, NFS-e 21620</t>
        </is>
      </c>
    </row>
    <row r="24">
      <c r="A24" s="2" t="inlineStr">
        <is>
          <t>07/11/2025</t>
        </is>
      </c>
      <c r="B24" s="3" t="inlineStr">
        <is>
          <t>Combustível</t>
        </is>
      </c>
      <c r="C24" s="3" t="inlineStr">
        <is>
          <t>Óleo Diesel (35,088 L) + Bala Granel</t>
        </is>
      </c>
      <c r="D24" s="3" t="inlineStr">
        <is>
          <t>Rede Pioneiro</t>
        </is>
      </c>
      <c r="E24" s="3" t="inlineStr">
        <is>
          <t>Cartão Débito (POS)</t>
        </is>
      </c>
      <c r="F24" s="4" t="n">
        <v>241.72</v>
      </c>
      <c r="G24" s="3" t="inlineStr">
        <is>
          <t>Felizlândia - MG</t>
        </is>
      </c>
    </row>
    <row r="25">
      <c r="A25" s="2" t="inlineStr">
        <is>
          <t>07/11/2025</t>
        </is>
      </c>
      <c r="B25" s="3" t="inlineStr">
        <is>
          <t>Alimentação</t>
        </is>
      </c>
      <c r="C25" s="3" t="inlineStr">
        <is>
          <t>Bar do Joel - Pastéis, Sucos, Águas, Chá Mate</t>
        </is>
      </c>
      <c r="D25" s="3" t="inlineStr">
        <is>
          <t>Bar do Joel</t>
        </is>
      </c>
      <c r="E25" s="3" t="inlineStr">
        <is>
          <t>Não especificado</t>
        </is>
      </c>
      <c r="F25" s="4" t="n">
        <v>87</v>
      </c>
      <c r="G25" s="3" t="inlineStr">
        <is>
          <t>Divinópolis - MG, CNPJ 390.060.186-00</t>
        </is>
      </c>
    </row>
    <row r="26" ht="15.75" customHeight="1">
      <c r="A26" s="11" t="inlineStr">
        <is>
          <t>02/11/2025</t>
        </is>
      </c>
      <c r="B26" s="12" t="inlineStr">
        <is>
          <t>Alimentação</t>
        </is>
      </c>
      <c r="C26" s="12" t="inlineStr">
        <is>
          <t>Coes da República - 2 Jantares, 2 Refri, Tostino P</t>
        </is>
      </c>
      <c r="D26" s="12" t="inlineStr">
        <is>
          <t>Coes da República</t>
        </is>
      </c>
      <c r="E26" s="12" t="inlineStr">
        <is>
          <t>Não especificado</t>
        </is>
      </c>
      <c r="F26" s="13" t="n">
        <v>76.5</v>
      </c>
      <c r="G26" s="12" t="inlineStr">
        <is>
          <t>CNPJ 505159 4000120</t>
        </is>
      </c>
    </row>
    <row r="27">
      <c r="E27" s="5" t="inlineStr">
        <is>
          <t>TOTAL GERAL:</t>
        </is>
      </c>
      <c r="F27" s="6">
        <f>SUM(F2:F26)</f>
        <v/>
      </c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</cols>
  <sheetData>
    <row r="1" ht="15.75" customHeight="1">
      <c r="A1" s="1" t="inlineStr">
        <is>
          <t>Categoria</t>
        </is>
      </c>
      <c r="B1" s="1" t="inlineStr">
        <is>
          <t>Quantidade</t>
        </is>
      </c>
      <c r="C1" s="1" t="inlineStr">
        <is>
          <t>Valor Total (R$)</t>
        </is>
      </c>
      <c r="D1" s="1" t="inlineStr">
        <is>
          <t>Percentual (%)</t>
        </is>
      </c>
    </row>
    <row r="2">
      <c r="A2" s="3" t="inlineStr">
        <is>
          <t>Transferência PIX</t>
        </is>
      </c>
      <c r="B2" s="2" t="n">
        <v>3</v>
      </c>
      <c r="C2" s="4" t="n">
        <v>3500</v>
      </c>
      <c r="D2" s="7" t="n">
        <v>0.5235672581979414</v>
      </c>
    </row>
    <row r="3">
      <c r="A3" s="3" t="inlineStr">
        <is>
          <t>Hospedagem</t>
        </is>
      </c>
      <c r="B3" s="2" t="n">
        <v>7</v>
      </c>
      <c r="C3" s="4" t="n">
        <v>1348.9</v>
      </c>
      <c r="D3" s="7" t="n">
        <v>0.2017828213094866</v>
      </c>
    </row>
    <row r="4">
      <c r="A4" s="3" t="inlineStr">
        <is>
          <t>Combustível</t>
        </is>
      </c>
      <c r="B4" s="2" t="n">
        <v>4</v>
      </c>
      <c r="C4" s="4" t="n">
        <v>829.86</v>
      </c>
      <c r="D4" s="7" t="n">
        <v>0.1241392928251839</v>
      </c>
    </row>
    <row r="5">
      <c r="A5" s="3" t="inlineStr">
        <is>
          <t>Alimentação</t>
        </is>
      </c>
      <c r="B5" s="2" t="n">
        <v>11</v>
      </c>
      <c r="C5" s="4" t="n">
        <v>708.3800000000001</v>
      </c>
      <c r="D5" s="7" t="n">
        <v>0.1059670212463594</v>
      </c>
    </row>
    <row r="6">
      <c r="A6" s="3" t="inlineStr">
        <is>
          <t>Transporte</t>
        </is>
      </c>
      <c r="B6" s="2" t="n">
        <v>1</v>
      </c>
      <c r="C6" s="4" t="n">
        <v>125.97</v>
      </c>
      <c r="D6" s="7" t="n">
        <v>0.0188439335757699</v>
      </c>
    </row>
    <row r="7">
      <c r="A7" s="3" t="inlineStr">
        <is>
          <t>Ferramentas</t>
        </is>
      </c>
      <c r="B7" s="2" t="n">
        <v>1</v>
      </c>
      <c r="C7" s="4" t="n">
        <v>87</v>
      </c>
      <c r="D7" s="7" t="n">
        <v>0.01301438613234883</v>
      </c>
    </row>
    <row r="8">
      <c r="A8" s="3" t="inlineStr">
        <is>
          <t>Conveniência</t>
        </is>
      </c>
      <c r="B8" s="2" t="n">
        <v>1</v>
      </c>
      <c r="C8" s="4" t="n">
        <v>50.8</v>
      </c>
      <c r="D8" s="7" t="n">
        <v>0.007599204776130119</v>
      </c>
    </row>
    <row r="9">
      <c r="A9" s="3" t="inlineStr">
        <is>
          <t>Materiais</t>
        </is>
      </c>
      <c r="B9" s="2" t="n">
        <v>1</v>
      </c>
      <c r="C9" s="4" t="n">
        <v>34</v>
      </c>
      <c r="D9" s="7" t="n">
        <v>0.005086081936780002</v>
      </c>
    </row>
    <row r="10" ht="15.75" customHeight="1">
      <c r="A10" s="8" t="inlineStr">
        <is>
          <t>TOTAL:</t>
        </is>
      </c>
      <c r="B10" s="9" t="n">
        <v>29</v>
      </c>
      <c r="C10" s="6" t="n">
        <v>6684.91</v>
      </c>
      <c r="D10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2025-11-08T01:37:23Z</dcterms:created>
  <dcterms:modified xmlns:dcterms="http://purl.org/dc/terms/" xmlns:xsi="http://www.w3.org/2001/XMLSchema-instance" xsi:type="dcterms:W3CDTF">2025-11-08T01:47:05Z</dcterms:modified>
  <cp:lastModifiedBy>Diogo Kanouté</cp:lastModifiedBy>
</cp:coreProperties>
</file>